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46a757d09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ет" sheetId="1" r:id="Rea0917b1ae14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&quot;—&quot;"/>
    <x:numFmt numFmtId="201" formatCode="0.0%;(0.0%);&quot;—&quot;"/>
  </x:numFmts>
  <x:fonts count="13">
    <x:font>
      <x:sz val="11"/>
      <x:name val="Carlito"/>
    </x:font>
    <x:font>
      <x:sz val="11"/>
      <x:color rgb="FF25314A"/>
      <x:name val="Arial"/>
    </x:font>
    <x:font>
      <x:b/>
      <x:sz val="16"/>
      <x:color rgb="FF25314A"/>
      <x:name val="Arial"/>
    </x:font>
    <x:font>
      <x:i/>
      <x:sz val="10"/>
      <x:color rgb="FF6B7584"/>
      <x:name val="Arial"/>
    </x:font>
    <x:font>
      <x:i/>
      <x:sz val="11"/>
      <x:color rgb="FF25314A"/>
      <x:name val="Arial"/>
    </x:font>
    <x:font>
      <x:sz val="11"/>
      <x:color rgb="FF2159B8"/>
      <x:name val="Arial"/>
    </x:font>
    <x:font>
      <x:sz val="11"/>
      <x:color rgb="FF111111"/>
      <x:name val="Arial"/>
    </x:font>
    <x:font>
      <x:i/>
      <x:sz val="11"/>
      <x:color rgb="FF111111"/>
      <x:name val="Arial"/>
    </x:font>
    <x:font>
      <x:sz val="10"/>
      <x:color rgb="FF6B7584"/>
      <x:name val="Arial"/>
    </x:font>
    <x:font>
      <x:b/>
      <x:sz val="11"/>
      <x:color rgb="FFFFFFFF"/>
      <x:name val="Arial"/>
    </x:font>
    <x:font>
      <x:b/>
      <x:sz val="11"/>
      <x:color rgb="FF25314A"/>
      <x:name val="Arial"/>
    </x:font>
    <x:font>
      <x:b/>
      <x:sz val="11"/>
      <x:color rgb="FF111111"/>
      <x:name val="Arial"/>
    </x:font>
    <x:font>
      <x:b/>
      <x:i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14A"/>
      </x:patternFill>
    </x:fill>
    <x:fill>
      <x:patternFill patternType="solid">
        <x:fgColor rgb="FFEAF0F9"/>
      </x:patternFill>
    </x:fill>
  </x:fills>
  <x:borders count="3">
    <x:border/>
    <x:border>
      <x:bottom style="thin">
        <x:color rgb="FFCAD4E3"/>
      </x:bottom>
    </x:border>
    <x:border>
      <x:top style="thin">
        <x:color rgb="FFCAD4E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2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200" fontId="10" fillId="0" borderId="2" xfId="0" applyNumberFormat="1" applyFont="1" applyFill="1" applyBorder="1" applyAlignment="1">
      <x:alignment horizontal="right" vertical="center"/>
    </x:xf>
    <x:xf numFmtId="200" fontId="11" fillId="0" borderId="2" xfId="0" applyNumberFormat="1" applyFont="1" applyFill="1" applyBorder="1" applyAlignment="1">
      <x:alignment horizontal="right" vertical="center"/>
    </x:xf>
    <x:xf numFmtId="201" fontId="12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fd1c5c09f4c28" /><Relationship Type="http://schemas.openxmlformats.org/officeDocument/2006/relationships/theme" Target="/xl/theme/theme1.xml" Id="R97a45f5aea4e4219" /><Relationship Type="http://schemas.openxmlformats.org/officeDocument/2006/relationships/sharedStrings" Target="/xl/sharedStrings.xml" Id="R0424337d9ea2432e" /><Relationship Type="http://schemas.openxmlformats.org/officeDocument/2006/relationships/worksheet" Target="/xl/worksheets/sheet1.xml" Id="Rea0917b1ae144d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14A"/>
  </x:sheetPr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19" hidden="0" customWidth="1"/>
    <x:col min="4" max="4" width="19" hidden="0" customWidth="1"/>
    <x:col min="5" max="5" width="17" hidden="0" customWidth="1"/>
    <x:col min="6" max="6" width="32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2" customHeight="1">
      <x:c r="A2" s="4" t="str">
        <x:v>Отчет для руководителя</x:v>
      </x:c>
      <x:c r="B2" s="4"/>
      <x:c r="C2" s="4"/>
      <x:c r="D2" s="4"/>
      <x:c r="E2" s="4"/>
      <x:c r="F2" s="4"/>
    </x:row>
    <x:row r="3" ht="25" customHeight="1">
      <x:c r="A3" s="5" t="str">
        <x:v>Демонстрационные данные прототипа. Период: сентябрь 2026. Валюта: рубли.</x:v>
      </x:c>
      <x:c r="B3" s="5"/>
      <x:c r="C3" s="5"/>
      <x:c r="D3" s="5"/>
      <x:c r="E3" s="5"/>
      <x:c r="F3" s="5"/>
    </x:row>
    <x:row r="4" ht="25" customHeight="1">
      <x:c r="A4" s="2"/>
      <x:c r="B4" s="2"/>
      <x:c r="C4" s="2"/>
      <x:c r="D4" s="2"/>
      <x:c r="E4" s="2"/>
      <x:c r="F4" s="2"/>
    </x:row>
    <x:row r="5" ht="30" customHeight="1">
      <x:c r="A5" s="19" t="str">
        <x:v>Показатель</x:v>
      </x:c>
      <x:c r="B5" s="19" t="str">
        <x:v>Значение</x:v>
      </x:c>
      <x:c r="C5" s="2"/>
      <x:c r="D5" s="2"/>
      <x:c r="E5" s="2"/>
      <x:c r="F5" s="2"/>
    </x:row>
    <x:row r="6" ht="25" customHeight="1">
      <x:c r="A6" s="30" t="str">
        <x:v>Расходы по плану</x:v>
      </x:c>
      <x:c r="B6" s="35" t="n">
        <x:f>B20</x:f>
        <x:v>3000000</x:v>
      </x:c>
      <x:c r="C6" s="2"/>
      <x:c r="D6" s="2"/>
      <x:c r="E6" s="2"/>
      <x:c r="F6" s="2"/>
    </x:row>
    <x:row r="7" ht="25" customHeight="1">
      <x:c r="A7" s="30" t="str">
        <x:v>Фактические расходы</x:v>
      </x:c>
      <x:c r="B7" s="35" t="n">
        <x:f>C20</x:f>
        <x:v>3216000</x:v>
      </x:c>
      <x:c r="C7" s="2"/>
      <x:c r="D7" s="2"/>
      <x:c r="E7" s="2"/>
      <x:c r="F7" s="2"/>
    </x:row>
    <x:row r="8" ht="25" customHeight="1">
      <x:c r="A8" s="30" t="str">
        <x:v>Превышение плана</x:v>
      </x:c>
      <x:c r="B8" s="35" t="n">
        <x:f>D20</x:f>
        <x:v>216000</x:v>
      </x:c>
      <x:c r="C8" s="2"/>
      <x:c r="D8" s="2"/>
      <x:c r="E8" s="2"/>
      <x:c r="F8" s="2"/>
    </x:row>
    <x:row r="9" ht="25" customHeight="1">
      <x:c r="A9" s="31" t="str">
        <x:v>Отклонение, %</x:v>
      </x:c>
      <x:c r="B9" s="36" t="n">
        <x:f>E20</x:f>
        <x:v>0.072</x:v>
      </x:c>
      <x:c r="C9" s="2"/>
      <x:c r="D9" s="2"/>
      <x:c r="E9" s="2"/>
      <x:c r="F9" s="2"/>
    </x:row>
    <x:row r="10" ht="25" customHeight="1">
      <x:c r="A10" s="30"/>
      <x:c r="B10" s="2"/>
      <x:c r="C10" s="2"/>
      <x:c r="D10" s="2"/>
      <x:c r="E10" s="2"/>
      <x:c r="F10" s="2"/>
    </x:row>
    <x:row r="11" ht="25" customHeight="1">
      <x:c r="A11" s="30" t="str">
        <x:v>Логистика выше плана на 18% из-за дополнительных поставок.</x:v>
      </x:c>
      <x:c r="B11" s="2"/>
      <x:c r="C11" s="2"/>
      <x:c r="D11" s="2"/>
      <x:c r="E11" s="2"/>
      <x:c r="F11" s="2"/>
    </x:row>
    <x:row r="12" ht="25" customHeight="1">
      <x:c r="A12" s="30" t="str">
        <x:v>В отчете также учтены сделки из amoCRM. Сумма сделок не равна признанной выручке.</x:v>
      </x:c>
      <x:c r="B12" s="2"/>
      <x:c r="C12" s="2"/>
      <x:c r="D12" s="2"/>
      <x:c r="E12" s="2"/>
      <x:c r="F12" s="2"/>
    </x:row>
    <x:row r="13" ht="25" customHeight="1">
      <x:c r="A13" s="30"/>
      <x:c r="B13" s="2"/>
      <x:c r="C13" s="2"/>
      <x:c r="D13" s="2"/>
      <x:c r="E13" s="2"/>
      <x:c r="F13" s="2"/>
    </x:row>
    <x:row r="14" ht="28" customHeight="1">
      <x:c r="A14" s="32" t="str">
        <x:v>Расходы из 1С: план и факт</x:v>
      </x:c>
      <x:c r="B14" s="21"/>
      <x:c r="C14" s="21"/>
      <x:c r="D14" s="21"/>
      <x:c r="E14" s="21"/>
      <x:c r="F14" s="21"/>
    </x:row>
    <x:row r="15" ht="30" customHeight="1">
      <x:c r="A15" s="33" t="str">
        <x:v>Статья</x:v>
      </x:c>
      <x:c r="B15" s="19" t="str">
        <x:v>План, ₽</x:v>
      </x:c>
      <x:c r="C15" s="19" t="str">
        <x:v>Факт, ₽</x:v>
      </x:c>
      <x:c r="D15" s="19" t="str">
        <x:v>Разница, ₽</x:v>
      </x:c>
      <x:c r="E15" s="19" t="str">
        <x:v>Отклонение, %</x:v>
      </x:c>
      <x:c r="F15" s="19" t="str">
        <x:v>Причина</x:v>
      </x:c>
    </x:row>
    <x:row r="16" ht="25" customHeight="1">
      <x:c r="A16" s="30" t="str">
        <x:v>Фонд оплаты труда</x:v>
      </x:c>
      <x:c r="B16" s="37" t="n">
        <x:v>1800000</x:v>
      </x:c>
      <x:c r="C16" s="37" t="n">
        <x:v>1800000</x:v>
      </x:c>
      <x:c r="D16" s="38" t="n">
        <x:f>C16-B16</x:f>
        <x:v>0</x:v>
      </x:c>
      <x:c r="E16" s="39" t="n">
        <x:f>IF(B16=0,"n.a.",D16/B16)</x:f>
        <x:v>0</x:v>
      </x:c>
      <x:c r="F16" s="2" t="str">
        <x:v>Без отклонений</x:v>
      </x:c>
    </x:row>
    <x:row r="17" ht="25" customHeight="1">
      <x:c r="A17" s="30" t="str">
        <x:v>Логистика</x:v>
      </x:c>
      <x:c r="B17" s="37" t="n">
        <x:v>600000</x:v>
      </x:c>
      <x:c r="C17" s="37" t="n">
        <x:v>708000</x:v>
      </x:c>
      <x:c r="D17" s="38" t="n">
        <x:f>C17-B17</x:f>
        <x:v>108000</x:v>
      </x:c>
      <x:c r="E17" s="39" t="n">
        <x:f>IF(B17=0,"n.a.",D17/B17)</x:f>
        <x:v>0.18</x:v>
      </x:c>
      <x:c r="F17" s="2" t="str">
        <x:v>Дополнительные поставки</x:v>
      </x:c>
    </x:row>
    <x:row r="18" ht="25" customHeight="1">
      <x:c r="A18" s="30" t="str">
        <x:v>ПО и сервисы</x:v>
      </x:c>
      <x:c r="B18" s="37" t="n">
        <x:v>300000</x:v>
      </x:c>
      <x:c r="C18" s="37" t="n">
        <x:v>330000</x:v>
      </x:c>
      <x:c r="D18" s="38" t="n">
        <x:f>C18-B18</x:f>
        <x:v>30000</x:v>
      </x:c>
      <x:c r="E18" s="39" t="n">
        <x:f>IF(B18=0,"n.a.",D18/B18)</x:f>
        <x:v>0.1</x:v>
      </x:c>
      <x:c r="F18" s="2" t="str">
        <x:v>Дополнительные лицензии</x:v>
      </x:c>
    </x:row>
    <x:row r="19" ht="25" customHeight="1">
      <x:c r="A19" s="30" t="str">
        <x:v>Прочие расходы</x:v>
      </x:c>
      <x:c r="B19" s="37" t="n">
        <x:v>300000</x:v>
      </x:c>
      <x:c r="C19" s="37" t="n">
        <x:v>378000</x:v>
      </x:c>
      <x:c r="D19" s="38" t="n">
        <x:f>C19-B19</x:f>
        <x:v>78000</x:v>
      </x:c>
      <x:c r="E19" s="39" t="n">
        <x:f>IF(B19=0,"n.a.",D19/B19)</x:f>
        <x:v>0.26</x:v>
      </x:c>
      <x:c r="F19" s="2" t="str">
        <x:v>Разовые расходы</x:v>
      </x:c>
    </x:row>
    <x:row r="20" ht="25" customHeight="1">
      <x:c r="A20" s="34" t="str">
        <x:v>Итого</x:v>
      </x:c>
      <x:c r="B20" s="40" t="n">
        <x:f>SUM(B16:B19)</x:f>
        <x:v>3000000</x:v>
      </x:c>
      <x:c r="C20" s="40" t="n">
        <x:f>SUM(C16:C19)</x:f>
        <x:v>3216000</x:v>
      </x:c>
      <x:c r="D20" s="41" t="n">
        <x:f>C20-B20</x:f>
        <x:v>216000</x:v>
      </x:c>
      <x:c r="E20" s="42" t="n">
        <x:f>D20/B20</x:f>
        <x:v>0.072</x:v>
      </x:c>
      <x:c r="F20" s="26"/>
    </x:row>
    <x:row r="21" ht="25" customHeight="1">
      <x:c r="A21" s="30"/>
      <x:c r="B21" s="2"/>
      <x:c r="C21" s="2"/>
      <x:c r="D21" s="2"/>
      <x:c r="E21" s="2"/>
      <x:c r="F21" s="2"/>
    </x:row>
    <x:row r="22" ht="28" customHeight="1">
      <x:c r="A22" s="32" t="str">
        <x:v>Сделки из amoCRM</x:v>
      </x:c>
      <x:c r="B22" s="21"/>
      <x:c r="C22" s="21"/>
      <x:c r="D22" s="21"/>
      <x:c r="E22" s="2"/>
      <x:c r="F22" s="2"/>
    </x:row>
    <x:row r="23" ht="30" customHeight="1">
      <x:c r="A23" s="33" t="str">
        <x:v>Сделка</x:v>
      </x:c>
      <x:c r="B23" s="19" t="str">
        <x:v>Статус</x:v>
      </x:c>
      <x:c r="C23" s="19" t="str">
        <x:v>Сумма, ₽</x:v>
      </x:c>
      <x:c r="D23" s="19" t="str">
        <x:v>Ответственный</x:v>
      </x:c>
      <x:c r="E23" s="2"/>
      <x:c r="F23" s="2"/>
    </x:row>
    <x:row r="24" ht="25" customHeight="1">
      <x:c r="A24" s="30" t="str">
        <x:v>Поставка оборудования</x:v>
      </x:c>
      <x:c r="B24" s="2" t="str">
        <x:v>Успешно реализовано</x:v>
      </x:c>
      <x:c r="C24" s="37" t="n">
        <x:v>1800000</x:v>
      </x:c>
      <x:c r="D24" s="2" t="str">
        <x:v>Анна</x:v>
      </x:c>
      <x:c r="E24" s="2"/>
      <x:c r="F24" s="2"/>
    </x:row>
    <x:row r="25" ht="25" customHeight="1">
      <x:c r="A25" s="30" t="str">
        <x:v>Расширение лицензий</x:v>
      </x:c>
      <x:c r="B25" s="2" t="str">
        <x:v>Успешно реализовано</x:v>
      </x:c>
      <x:c r="C25" s="37" t="n">
        <x:v>1200000</x:v>
      </x:c>
      <x:c r="D25" s="2" t="str">
        <x:v>Иван</x:v>
      </x:c>
      <x:c r="E25" s="2"/>
      <x:c r="F25" s="2"/>
    </x:row>
    <x:row r="26" ht="25" customHeight="1">
      <x:c r="A26" s="30" t="str">
        <x:v>Сервисный контракт</x:v>
      </x:c>
      <x:c r="B26" s="2" t="str">
        <x:v>Согласование</x:v>
      </x:c>
      <x:c r="C26" s="37" t="n">
        <x:v>1400000</x:v>
      </x:c>
      <x:c r="D26" s="2" t="str">
        <x:v>Мария</x:v>
      </x:c>
      <x:c r="E26" s="2"/>
      <x:c r="F26" s="2"/>
    </x:row>
    <x:row r="27" ht="25" customHeight="1">
      <x:c r="A27" s="30" t="str">
        <x:v>Сумма всех сделок</x:v>
      </x:c>
      <x:c r="B27" s="2"/>
      <x:c r="C27" s="35" t="n">
        <x:f>SUM(C24:C26)</x:f>
        <x:v>4400000</x:v>
      </x:c>
      <x:c r="D27" s="2"/>
      <x:c r="E27" s="2"/>
      <x:c r="F27" s="2"/>
    </x:row>
    <x:row r="28" ht="25" customHeight="1">
      <x:c r="A28" s="30" t="str">
        <x:v>Успешные сделки</x:v>
      </x:c>
      <x:c r="B28" s="2"/>
      <x:c r="C28" s="35" t="n">
        <x:f>SUMIFS(C24:C26,B24:B26,"Успешно реализовано")</x:f>
        <x:v>3000000</x:v>
      </x:c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16" t="str">
        <x:v>Источники: демонстрационные наборы 1С и amoCRM для промосценария.</x:v>
      </x:c>
      <x:c r="B30" s="16"/>
      <x:c r="C30" s="16"/>
      <x:c r="D30" s="16"/>
      <x:c r="E30" s="16"/>
      <x:c r="F30" s="16"/>
    </x:row>
    <x:row r="31" ht="25" customHeight="1">
      <x:c r="A31" s="16" t="str">
        <x:v>Суммы 1С сохранены из сценария; сделки amoCRM — примеры. Реальные системы не подключены.</x:v>
      </x:c>
      <x:c r="B31" s="16"/>
      <x:c r="C31" s="16"/>
      <x:c r="D31" s="16"/>
      <x:c r="E31" s="16"/>
      <x:c r="F31" s="16"/>
    </x:row>
    <x:row r="32" ht="25" customHeight="1">
      <x:c r="A32" s="2"/>
      <x:c r="B32" s="2"/>
      <x:c r="C32" s="2"/>
      <x:c r="D32" s="2"/>
      <x:c r="E32" s="2"/>
      <x:c r="F32" s="2"/>
    </x:row>
  </x:sheetData>
  <x:conditionalFormatting sqref="D16:E19">
    <x:cfRule type="cellIs" dxfId="0" priority="1" operator="greaterThan">
      <x:formula>0</x:formula>
    </x:cfRule>
  </x:conditionalFormatting>
  <x:pageMargins left="0.7" right="0.7" top="0.75" bottom="0.75" header="0.3" footer="0.3"/>
</x:worksheet>
</file>